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44DD399-0283-4CB6-8EB3-3771B1BFE91D}" xr6:coauthVersionLast="47" xr6:coauthVersionMax="47" xr10:uidLastSave="{00000000-0000-0000-0000-000000000000}"/>
  <bookViews>
    <workbookView xWindow="-108" yWindow="-108" windowWidth="23256" windowHeight="12456" xr2:uid="{47335BA8-7DBC-4B38-B7A4-50E4497EE33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8" i="1"/>
  <c r="B9" i="1" s="1"/>
  <c r="B5" i="1"/>
  <c r="B6" i="1" s="1"/>
  <c r="B14" i="1" s="1"/>
  <c r="B15" i="1" l="1"/>
  <c r="B16" i="1" s="1"/>
</calcChain>
</file>

<file path=xl/sharedStrings.xml><?xml version="1.0" encoding="utf-8"?>
<sst xmlns="http://schemas.openxmlformats.org/spreadsheetml/2006/main" count="23" uniqueCount="23">
  <si>
    <t>Total Days for the year Jan 2025 to Dec 2025</t>
  </si>
  <si>
    <t>Total Days before Appraisal Cycle</t>
  </si>
  <si>
    <t>Total Days after Appraisal Cycle</t>
  </si>
  <si>
    <t>Salary Before increment (Upto March 2025)</t>
  </si>
  <si>
    <t>Leave Salary Before Increment (Upto March 2025)</t>
  </si>
  <si>
    <t>B4/2</t>
  </si>
  <si>
    <t xml:space="preserve">Actual amount to be paid as leave salary before increment </t>
  </si>
  <si>
    <t>B5/12*3</t>
  </si>
  <si>
    <t>Salary after increment (from April 2025)</t>
  </si>
  <si>
    <t>Leave Salary After Increment  (from April 2025)</t>
  </si>
  <si>
    <t>B7/2</t>
  </si>
  <si>
    <t>Actual amount to be paid as leave salary after increment   Apr to Dec</t>
  </si>
  <si>
    <t>B8/12*9</t>
  </si>
  <si>
    <t>Total Months completed</t>
  </si>
  <si>
    <t>Total Days present for the year Jan 2025 to Dec 2025</t>
  </si>
  <si>
    <t>B12+B13</t>
  </si>
  <si>
    <t>Total working Days before increment Jan 2025 to March 2025</t>
  </si>
  <si>
    <t>Total working Days after increment April 2025 to Dec 2025</t>
  </si>
  <si>
    <t xml:space="preserve"> Leave Salary to be paid before increment as per the present days</t>
  </si>
  <si>
    <t>B6/B2*B12</t>
  </si>
  <si>
    <t xml:space="preserve"> Leave Salary to be paid after increment as per the present days</t>
  </si>
  <si>
    <t>B9/B3*B13</t>
  </si>
  <si>
    <t>Total Leave Salary Jan to 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</si>
</sst>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D9D9D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4" fillId="5" borderId="1" xfId="0" applyFont="1" applyFill="1" applyBorder="1" applyAlignment="1">
      <alignment wrapText="1"/>
    </xf>
    <xf numFmtId="1" fontId="1" fillId="0" borderId="1" xfId="0" applyNumberFormat="1" applyFont="1" applyBorder="1"/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0" borderId="1" xfId="0" applyFont="1" applyBorder="1"/>
    <xf numFmtId="0" fontId="1" fillId="3" borderId="1" xfId="0" applyFont="1" applyFill="1" applyBorder="1"/>
    <xf numFmtId="0" fontId="5" fillId="4" borderId="1" xfId="0" applyFont="1" applyFill="1" applyBorder="1" applyAlignment="1">
      <alignment vertical="top"/>
    </xf>
    <xf numFmtId="0" fontId="1" fillId="4" borderId="1" xfId="0" applyFont="1" applyFill="1" applyBorder="1"/>
    <xf numFmtId="1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F73B-A074-48C1-90A0-137B952305E4}">
  <dimension ref="A1:C16"/>
  <sheetViews>
    <sheetView tabSelected="1" workbookViewId="0">
      <selection activeCell="M12" sqref="M12"/>
    </sheetView>
  </sheetViews>
  <sheetFormatPr defaultRowHeight="14.45"/>
  <cols>
    <col min="1" max="1" width="45.28515625" style="1" customWidth="1"/>
    <col min="2" max="2" width="10.5703125" bestFit="1" customWidth="1"/>
    <col min="3" max="3" width="11.7109375" customWidth="1"/>
  </cols>
  <sheetData>
    <row r="1" spans="1:3">
      <c r="A1" s="13" t="s">
        <v>0</v>
      </c>
      <c r="B1" s="8">
        <v>365</v>
      </c>
      <c r="C1" s="2"/>
    </row>
    <row r="2" spans="1:3">
      <c r="A2" s="14" t="s">
        <v>1</v>
      </c>
      <c r="B2" s="8">
        <v>90</v>
      </c>
      <c r="C2" s="2"/>
    </row>
    <row r="3" spans="1:3">
      <c r="A3" s="14" t="s">
        <v>2</v>
      </c>
      <c r="B3" s="8">
        <v>275</v>
      </c>
      <c r="C3" s="3"/>
    </row>
    <row r="4" spans="1:3">
      <c r="A4" s="15" t="s">
        <v>3</v>
      </c>
      <c r="B4" s="9">
        <v>25000</v>
      </c>
      <c r="C4" s="2"/>
    </row>
    <row r="5" spans="1:3" ht="16.899999999999999" customHeight="1">
      <c r="A5" s="15" t="s">
        <v>4</v>
      </c>
      <c r="B5" s="9">
        <f>B4/2</f>
        <v>12500</v>
      </c>
      <c r="C5" s="2" t="s">
        <v>5</v>
      </c>
    </row>
    <row r="6" spans="1:3" ht="28.9">
      <c r="A6" s="15" t="s">
        <v>6</v>
      </c>
      <c r="B6" s="9">
        <f>B5/12*3</f>
        <v>3125</v>
      </c>
      <c r="C6" s="2" t="s">
        <v>7</v>
      </c>
    </row>
    <row r="7" spans="1:3">
      <c r="A7" s="16" t="s">
        <v>8</v>
      </c>
      <c r="B7" s="10">
        <v>30000</v>
      </c>
      <c r="C7" s="2"/>
    </row>
    <row r="8" spans="1:3">
      <c r="A8" s="16" t="s">
        <v>9</v>
      </c>
      <c r="B8" s="11">
        <f>B7/2</f>
        <v>15000</v>
      </c>
      <c r="C8" s="3" t="s">
        <v>10</v>
      </c>
    </row>
    <row r="9" spans="1:3" ht="28.9">
      <c r="A9" s="16" t="s">
        <v>11</v>
      </c>
      <c r="B9" s="11">
        <f>B8/12*9</f>
        <v>11250</v>
      </c>
      <c r="C9" s="2" t="s">
        <v>12</v>
      </c>
    </row>
    <row r="10" spans="1:3">
      <c r="A10" s="17" t="s">
        <v>13</v>
      </c>
      <c r="B10" s="8">
        <v>12</v>
      </c>
      <c r="C10" s="2"/>
    </row>
    <row r="11" spans="1:3" ht="28.9">
      <c r="A11" s="17" t="s">
        <v>14</v>
      </c>
      <c r="B11" s="8">
        <f>B12+B13</f>
        <v>344.5</v>
      </c>
      <c r="C11" s="2" t="s">
        <v>15</v>
      </c>
    </row>
    <row r="12" spans="1:3" ht="28.9">
      <c r="A12" s="17" t="s">
        <v>16</v>
      </c>
      <c r="B12" s="8">
        <v>86</v>
      </c>
      <c r="C12" s="2"/>
    </row>
    <row r="13" spans="1:3" ht="28.9">
      <c r="A13" s="17" t="s">
        <v>17</v>
      </c>
      <c r="B13" s="8">
        <v>258.5</v>
      </c>
      <c r="C13" s="2"/>
    </row>
    <row r="14" spans="1:3" ht="28.9">
      <c r="A14" s="6" t="s">
        <v>18</v>
      </c>
      <c r="B14" s="12">
        <f>B6/B2*B12</f>
        <v>2986.1111111111109</v>
      </c>
      <c r="C14" s="4" t="s">
        <v>19</v>
      </c>
    </row>
    <row r="15" spans="1:3" ht="28.9">
      <c r="A15" s="7" t="s">
        <v>20</v>
      </c>
      <c r="B15" s="5">
        <f>B9/B3*B13</f>
        <v>10575</v>
      </c>
      <c r="C15" s="2" t="s">
        <v>21</v>
      </c>
    </row>
    <row r="16" spans="1:3">
      <c r="A16" s="17" t="s">
        <v>22</v>
      </c>
      <c r="B16" s="5">
        <f>B14+B15</f>
        <v>13561.111111111111</v>
      </c>
      <c r="C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Dalnex LLP</dc:creator>
  <cp:keywords/>
  <dc:description/>
  <cp:lastModifiedBy>Deepa Rade</cp:lastModifiedBy>
  <cp:revision/>
  <dcterms:created xsi:type="dcterms:W3CDTF">2026-01-12T10:10:36Z</dcterms:created>
  <dcterms:modified xsi:type="dcterms:W3CDTF">2026-08-04T07:01:34Z</dcterms:modified>
  <cp:category/>
  <cp:contentStatus/>
</cp:coreProperties>
</file>